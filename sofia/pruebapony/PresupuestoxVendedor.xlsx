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REENYWAVE\3D Objects\INTEGRASOFT\KPI\"/>
    </mc:Choice>
  </mc:AlternateContent>
  <xr:revisionPtr revIDLastSave="0" documentId="13_ncr:1_{8AEE6E70-50E2-4747-8733-687E392619DC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4" i="1" l="1"/>
  <c r="D41" i="1"/>
  <c r="E41" i="1"/>
  <c r="F41" i="1"/>
  <c r="G41" i="1"/>
  <c r="H41" i="1"/>
  <c r="I41" i="1"/>
  <c r="J41" i="1"/>
  <c r="K41" i="1"/>
  <c r="L41" i="1"/>
  <c r="M41" i="1"/>
  <c r="N41" i="1"/>
  <c r="O41" i="1"/>
  <c r="B42" i="1" l="1"/>
  <c r="J42" i="1"/>
  <c r="M42" i="1"/>
  <c r="D42" i="1"/>
  <c r="G42" i="1"/>
  <c r="B43" i="1" l="1"/>
  <c r="C44" i="1" s="1"/>
  <c r="E51" i="1"/>
  <c r="C45" i="1"/>
  <c r="C52" i="1" s="1"/>
  <c r="C47" i="1"/>
  <c r="C48" i="1"/>
  <c r="C49" i="1"/>
  <c r="C51" i="1"/>
  <c r="C46" i="1"/>
</calcChain>
</file>

<file path=xl/sharedStrings.xml><?xml version="1.0" encoding="utf-8"?>
<sst xmlns="http://schemas.openxmlformats.org/spreadsheetml/2006/main" count="139" uniqueCount="46">
  <si>
    <t>Vr. ERP</t>
  </si>
  <si>
    <t>Vr. Siigo Producto</t>
  </si>
  <si>
    <t>Vr. BPM</t>
  </si>
  <si>
    <t>Vr. Servidor Virtual (Saas)</t>
  </si>
  <si>
    <t>Vr. ControlBlue</t>
  </si>
  <si>
    <t>Vr. Impuestos</t>
  </si>
  <si>
    <t>Vr. Consultoria</t>
  </si>
  <si>
    <t>Vr. FE</t>
  </si>
  <si>
    <t>Valor Suministro</t>
  </si>
  <si>
    <t>Vr. SDP IA</t>
  </si>
  <si>
    <t>Vr. Grennywave IoT</t>
  </si>
  <si>
    <t>Vr. Grennywave Cloud</t>
  </si>
  <si>
    <t>Vendedor</t>
  </si>
  <si>
    <t>Producto</t>
  </si>
  <si>
    <t>Tipo de Venta</t>
  </si>
  <si>
    <t>Nuevo</t>
  </si>
  <si>
    <t>Cruzado</t>
  </si>
  <si>
    <t>Renovacion</t>
  </si>
  <si>
    <t>Renovación</t>
  </si>
  <si>
    <t>GreenyWave</t>
  </si>
  <si>
    <t>MAIRA ALEJANDRA AMEZQUITA MORENO</t>
  </si>
  <si>
    <t>RAFAEL SALAZAR RODRIGUEZ</t>
  </si>
  <si>
    <t>DUVAN CAMILO PERDOMO ARANGO</t>
  </si>
  <si>
    <t>JOHN ALEXANDER MORA AVILES</t>
  </si>
  <si>
    <t>1/01/2026</t>
  </si>
  <si>
    <t>1/02/2026</t>
  </si>
  <si>
    <t>1/03/2026</t>
  </si>
  <si>
    <t>1/04/2026</t>
  </si>
  <si>
    <t>1/05/2026</t>
  </si>
  <si>
    <t>1/06/2026</t>
  </si>
  <si>
    <t>1/07/2026</t>
  </si>
  <si>
    <t>1/08/2026</t>
  </si>
  <si>
    <t>1/09/2026</t>
  </si>
  <si>
    <t>1/10/2026</t>
  </si>
  <si>
    <t>1/11/2026</t>
  </si>
  <si>
    <t>1/12/2026</t>
  </si>
  <si>
    <t>duvan</t>
  </si>
  <si>
    <t>john</t>
  </si>
  <si>
    <t>jorge</t>
  </si>
  <si>
    <t>maira</t>
  </si>
  <si>
    <t>rafael</t>
  </si>
  <si>
    <t>TODOS</t>
  </si>
  <si>
    <t>trimestres</t>
  </si>
  <si>
    <t>totales</t>
  </si>
  <si>
    <t>pipeline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</si>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</sst>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_-&quot;$&quot;\ * #,##0.00_-;\-&quot;$&quot;\ * #,##0.00_-;_-&quot;$&quot;\ * &quot;-&quot;??_-;_-@_-"/>
    <numFmt numFmtId="168" formatCode="_-&quot;$&quot;\ * #,##0_-;\-&quot;$&quot;\ * #,##0_-;_-&quot;$&quot;\ * &quot;-&quot;??_-;_-@_-"/>
    <numFmt numFmtId="175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E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right" vertical="center" wrapText="1"/>
    </xf>
    <xf numFmtId="0" fontId="0" fillId="0" borderId="1" xfId="0" applyFill="1" applyBorder="1"/>
    <xf numFmtId="164" fontId="3" fillId="0" borderId="1" xfId="0" applyNumberFormat="1" applyFont="1" applyFill="1" applyBorder="1" applyAlignment="1">
      <alignment horizontal="right" vertical="center" wrapText="1"/>
    </xf>
    <xf numFmtId="0" fontId="0" fillId="0" borderId="4" xfId="0" applyBorder="1"/>
    <xf numFmtId="0" fontId="0" fillId="0" borderId="4" xfId="0" applyFill="1" applyBorder="1"/>
    <xf numFmtId="164" fontId="3" fillId="0" borderId="5" xfId="0" applyNumberFormat="1" applyFont="1" applyBorder="1" applyAlignment="1">
      <alignment horizontal="right" vertical="center" wrapText="1"/>
    </xf>
    <xf numFmtId="164" fontId="3" fillId="0" borderId="5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0" fillId="0" borderId="8" xfId="0" applyFill="1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165" fontId="0" fillId="0" borderId="2" xfId="1" applyFont="1" applyBorder="1"/>
    <xf numFmtId="164" fontId="3" fillId="0" borderId="2" xfId="0" applyNumberFormat="1" applyFont="1" applyFill="1" applyBorder="1" applyAlignment="1">
      <alignment horizontal="right" vertical="center" wrapText="1"/>
    </xf>
    <xf numFmtId="164" fontId="3" fillId="0" borderId="9" xfId="0" applyNumberFormat="1" applyFont="1" applyFill="1" applyBorder="1" applyAlignment="1">
      <alignment horizontal="right" vertical="center" wrapText="1"/>
    </xf>
    <xf numFmtId="168" fontId="0" fillId="0" borderId="0" xfId="1" applyNumberFormat="1" applyFont="1"/>
    <xf numFmtId="168" fontId="0" fillId="0" borderId="0" xfId="0" applyNumberFormat="1"/>
    <xf numFmtId="175" fontId="0" fillId="0" borderId="0" xfId="0" applyNumberFormat="1"/>
  </cellXfs>
  <cellStyles count="2">
    <cellStyle name="Moneda" xfId="1" builtinId="4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\ #,##0;[Red]\-&quot;$&quot;\ 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166" formatCode="d/mm/yyyy"/>
      <fill>
        <patternFill patternType="solid">
          <fgColor indexed="64"/>
          <bgColor rgb="FF1E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EENYWAVE/Downloads/Informe_ListadoAct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e Detallado"/>
    </sheetNames>
    <sheetDataSet>
      <sheetData sheetId="0">
        <row r="2020">
          <cell r="J2020">
            <v>1589517883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O39" totalsRowShown="0" headerRowDxfId="34" dataDxfId="32" headerRowBorderDxfId="33" tableBorderDxfId="31" totalsRowBorderDxfId="30">
  <autoFilter ref="A1:O39" xr:uid="{00000000-000C-0000-FFFF-FFFF00000000}"/>
  <tableColumns count="15">
    <tableColumn id="1" xr3:uid="{00000000-0010-0000-0000-000001000000}" name="Vendedor" dataDxfId="29" totalsRowDxfId="14"/>
    <tableColumn id="2" xr3:uid="{00000000-0010-0000-0000-000002000000}" name="Producto" dataDxfId="28" totalsRowDxfId="13"/>
    <tableColumn id="3" xr3:uid="{00000000-0010-0000-0000-000003000000}" name="Tipo de Venta" dataDxfId="27" totalsRowDxfId="12"/>
    <tableColumn id="4" xr3:uid="{00000000-0010-0000-0000-000004000000}" name="1/01/2026" dataDxfId="26" totalsRowDxfId="11"/>
    <tableColumn id="5" xr3:uid="{00000000-0010-0000-0000-000005000000}" name="1/02/2026" dataDxfId="25" totalsRowDxfId="10"/>
    <tableColumn id="6" xr3:uid="{00000000-0010-0000-0000-000006000000}" name="1/03/2026" dataDxfId="24" totalsRowDxfId="9"/>
    <tableColumn id="7" xr3:uid="{00000000-0010-0000-0000-000007000000}" name="1/04/2026" dataDxfId="23" totalsRowDxfId="8"/>
    <tableColumn id="8" xr3:uid="{00000000-0010-0000-0000-000008000000}" name="1/05/2026" dataDxfId="22" totalsRowDxfId="7"/>
    <tableColumn id="9" xr3:uid="{00000000-0010-0000-0000-000009000000}" name="1/06/2026" dataDxfId="21" totalsRowDxfId="6"/>
    <tableColumn id="10" xr3:uid="{00000000-0010-0000-0000-00000A000000}" name="1/07/2026" dataDxfId="20" totalsRowDxfId="5"/>
    <tableColumn id="11" xr3:uid="{00000000-0010-0000-0000-00000B000000}" name="1/08/2026" dataDxfId="19" totalsRowDxfId="4"/>
    <tableColumn id="12" xr3:uid="{00000000-0010-0000-0000-00000C000000}" name="1/09/2026" dataDxfId="18" totalsRowDxfId="3"/>
    <tableColumn id="13" xr3:uid="{00000000-0010-0000-0000-00000D000000}" name="1/10/2026" dataDxfId="17" totalsRowDxfId="2"/>
    <tableColumn id="14" xr3:uid="{00000000-0010-0000-0000-00000E000000}" name="1/11/2026" dataDxfId="16" totalsRowDxfId="1"/>
    <tableColumn id="15" xr3:uid="{00000000-0010-0000-0000-00000F000000}" name="1/12/2026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28" workbookViewId="0">
      <selection activeCell="D44" sqref="D44"/>
    </sheetView>
  </sheetViews>
  <sheetFormatPr baseColWidth="10" defaultRowHeight="15" x14ac:dyDescent="0.25"/>
  <cols>
    <col min="1" max="1" width="38" bestFit="1" customWidth="1"/>
    <col min="2" max="2" width="25.28515625" customWidth="1"/>
    <col min="3" max="3" width="17.85546875" style="1" bestFit="1" customWidth="1"/>
    <col min="4" max="4" width="18.28515625" bestFit="1" customWidth="1"/>
    <col min="5" max="5" width="19.28515625" bestFit="1" customWidth="1"/>
    <col min="6" max="6" width="17.85546875" bestFit="1" customWidth="1"/>
    <col min="7" max="7" width="15.5703125" bestFit="1" customWidth="1"/>
    <col min="8" max="8" width="16.28515625" bestFit="1" customWidth="1"/>
    <col min="9" max="9" width="14.28515625" bestFit="1" customWidth="1"/>
    <col min="10" max="10" width="18.28515625" bestFit="1" customWidth="1"/>
    <col min="11" max="12" width="14.28515625" bestFit="1" customWidth="1"/>
    <col min="13" max="13" width="15.5703125" bestFit="1" customWidth="1"/>
    <col min="14" max="15" width="14.28515625" bestFit="1" customWidth="1"/>
    <col min="16" max="16" width="14.140625" bestFit="1" customWidth="1"/>
  </cols>
  <sheetData>
    <row r="1" spans="1:15" x14ac:dyDescent="0.25">
      <c r="A1" s="12" t="s">
        <v>12</v>
      </c>
      <c r="B1" s="13" t="s">
        <v>13</v>
      </c>
      <c r="C1" s="13" t="s">
        <v>14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34</v>
      </c>
      <c r="O1" s="15" t="s">
        <v>35</v>
      </c>
    </row>
    <row r="2" spans="1:15" x14ac:dyDescent="0.25">
      <c r="A2" s="8" t="s">
        <v>23</v>
      </c>
      <c r="B2" s="3" t="s">
        <v>0</v>
      </c>
      <c r="C2" s="4" t="s">
        <v>15</v>
      </c>
      <c r="D2" s="5">
        <v>92447862</v>
      </c>
      <c r="E2" s="5">
        <v>22538800</v>
      </c>
      <c r="F2" s="5">
        <v>24200400</v>
      </c>
      <c r="G2" s="5">
        <v>102510000</v>
      </c>
      <c r="H2" s="5">
        <v>113900000</v>
      </c>
      <c r="I2" s="5">
        <v>107200000</v>
      </c>
      <c r="J2" s="5">
        <v>154904000</v>
      </c>
      <c r="K2" s="5">
        <v>154368000</v>
      </c>
      <c r="L2" s="5">
        <v>128640000</v>
      </c>
      <c r="M2" s="5">
        <v>121605000</v>
      </c>
      <c r="N2" s="5">
        <v>132660000</v>
      </c>
      <c r="O2" s="10">
        <v>148070000</v>
      </c>
    </row>
    <row r="3" spans="1:15" x14ac:dyDescent="0.25">
      <c r="A3" s="8" t="s">
        <v>23</v>
      </c>
      <c r="B3" s="3" t="s">
        <v>1</v>
      </c>
      <c r="C3" s="4" t="s">
        <v>15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10">
        <v>0</v>
      </c>
    </row>
    <row r="4" spans="1:15" x14ac:dyDescent="0.25">
      <c r="A4" s="8" t="s">
        <v>23</v>
      </c>
      <c r="B4" s="3" t="s">
        <v>2</v>
      </c>
      <c r="C4" s="4" t="s">
        <v>15</v>
      </c>
      <c r="D4" s="5">
        <v>35634448</v>
      </c>
      <c r="E4" s="5">
        <v>11658000</v>
      </c>
      <c r="F4" s="5">
        <v>0</v>
      </c>
      <c r="G4" s="5">
        <v>36180000</v>
      </c>
      <c r="H4" s="5">
        <v>40200000</v>
      </c>
      <c r="I4" s="5">
        <v>43550000</v>
      </c>
      <c r="J4" s="5">
        <v>54672000</v>
      </c>
      <c r="K4" s="5">
        <v>62712000</v>
      </c>
      <c r="L4" s="5">
        <v>48240000</v>
      </c>
      <c r="M4" s="5">
        <v>47905000</v>
      </c>
      <c r="N4" s="5">
        <v>52260000</v>
      </c>
      <c r="O4" s="10">
        <v>52260000</v>
      </c>
    </row>
    <row r="5" spans="1:15" x14ac:dyDescent="0.25">
      <c r="A5" s="8" t="s">
        <v>23</v>
      </c>
      <c r="B5" s="3" t="s">
        <v>3</v>
      </c>
      <c r="C5" s="4" t="s">
        <v>15</v>
      </c>
      <c r="D5" s="5">
        <v>0</v>
      </c>
      <c r="E5" s="5">
        <v>6217600</v>
      </c>
      <c r="F5" s="5">
        <v>0</v>
      </c>
      <c r="G5" s="5">
        <v>21105000</v>
      </c>
      <c r="H5" s="5">
        <v>23450000</v>
      </c>
      <c r="I5" s="5">
        <v>30150000</v>
      </c>
      <c r="J5" s="5">
        <v>31892000</v>
      </c>
      <c r="K5" s="5">
        <v>43416000</v>
      </c>
      <c r="L5" s="5">
        <v>28140000</v>
      </c>
      <c r="M5" s="5">
        <v>36850000</v>
      </c>
      <c r="N5" s="5">
        <v>40200000</v>
      </c>
      <c r="O5" s="10">
        <v>30485000</v>
      </c>
    </row>
    <row r="6" spans="1:15" x14ac:dyDescent="0.25">
      <c r="A6" s="8" t="s">
        <v>23</v>
      </c>
      <c r="B6" s="3" t="s">
        <v>4</v>
      </c>
      <c r="C6" s="4" t="s">
        <v>15</v>
      </c>
      <c r="D6" s="5">
        <v>97826646</v>
      </c>
      <c r="E6" s="5">
        <v>21761600</v>
      </c>
      <c r="F6" s="5">
        <v>18009600</v>
      </c>
      <c r="G6" s="5">
        <v>66330000</v>
      </c>
      <c r="H6" s="5">
        <v>73700000</v>
      </c>
      <c r="I6" s="5">
        <v>53600000</v>
      </c>
      <c r="J6" s="5">
        <v>100232000</v>
      </c>
      <c r="K6" s="5">
        <v>77184000</v>
      </c>
      <c r="L6" s="5">
        <v>92460000</v>
      </c>
      <c r="M6" s="5">
        <v>58960000</v>
      </c>
      <c r="N6" s="5">
        <v>64320000</v>
      </c>
      <c r="O6" s="10">
        <v>95810000</v>
      </c>
    </row>
    <row r="7" spans="1:15" x14ac:dyDescent="0.25">
      <c r="A7" s="8" t="s">
        <v>23</v>
      </c>
      <c r="B7" s="3" t="s">
        <v>5</v>
      </c>
      <c r="C7" s="4" t="s">
        <v>15</v>
      </c>
      <c r="D7" s="5">
        <v>0</v>
      </c>
      <c r="E7" s="5">
        <v>0</v>
      </c>
      <c r="F7" s="5">
        <v>0</v>
      </c>
      <c r="G7" s="5">
        <v>12060000</v>
      </c>
      <c r="H7" s="5">
        <v>13400000</v>
      </c>
      <c r="I7" s="5">
        <v>30150000</v>
      </c>
      <c r="J7" s="5">
        <v>18224000</v>
      </c>
      <c r="K7" s="5">
        <v>43416000</v>
      </c>
      <c r="L7" s="5">
        <v>28140000</v>
      </c>
      <c r="M7" s="5">
        <v>33165000</v>
      </c>
      <c r="N7" s="5">
        <v>36180000</v>
      </c>
      <c r="O7" s="10">
        <v>17420000</v>
      </c>
    </row>
    <row r="8" spans="1:15" x14ac:dyDescent="0.25">
      <c r="A8" s="8" t="s">
        <v>23</v>
      </c>
      <c r="B8" s="3" t="s">
        <v>6</v>
      </c>
      <c r="C8" s="4" t="s">
        <v>15</v>
      </c>
      <c r="D8" s="5">
        <v>86456702</v>
      </c>
      <c r="E8" s="5">
        <v>6217600</v>
      </c>
      <c r="F8" s="5">
        <v>7316400</v>
      </c>
      <c r="G8" s="5">
        <v>15075000</v>
      </c>
      <c r="H8" s="5">
        <v>16750000</v>
      </c>
      <c r="I8" s="5">
        <v>20100000</v>
      </c>
      <c r="J8" s="5">
        <v>22780000</v>
      </c>
      <c r="K8" s="5">
        <v>28944000</v>
      </c>
      <c r="L8" s="5">
        <v>20100000</v>
      </c>
      <c r="M8" s="5">
        <v>18425000</v>
      </c>
      <c r="N8" s="5">
        <v>20100000</v>
      </c>
      <c r="O8" s="10">
        <v>21775000</v>
      </c>
    </row>
    <row r="9" spans="1:15" x14ac:dyDescent="0.25">
      <c r="A9" s="8" t="s">
        <v>23</v>
      </c>
      <c r="B9" s="3" t="s">
        <v>7</v>
      </c>
      <c r="C9" s="4" t="s">
        <v>15</v>
      </c>
      <c r="D9" s="5">
        <v>20190613</v>
      </c>
      <c r="E9" s="5">
        <v>3886000</v>
      </c>
      <c r="F9" s="5">
        <v>6753600</v>
      </c>
      <c r="G9" s="5">
        <v>18090000</v>
      </c>
      <c r="H9" s="5">
        <v>20100000</v>
      </c>
      <c r="I9" s="5">
        <v>13400000</v>
      </c>
      <c r="J9" s="5">
        <v>27336000</v>
      </c>
      <c r="K9" s="5">
        <v>19296000</v>
      </c>
      <c r="L9" s="5">
        <v>24120000</v>
      </c>
      <c r="M9" s="5">
        <v>25795000</v>
      </c>
      <c r="N9" s="5">
        <v>28140000</v>
      </c>
      <c r="O9" s="10">
        <v>26130000</v>
      </c>
    </row>
    <row r="10" spans="1:15" x14ac:dyDescent="0.25">
      <c r="A10" s="8" t="s">
        <v>23</v>
      </c>
      <c r="B10" s="3" t="s">
        <v>8</v>
      </c>
      <c r="C10" s="4" t="s">
        <v>15</v>
      </c>
      <c r="D10" s="5">
        <v>35943729</v>
      </c>
      <c r="E10" s="5">
        <v>0</v>
      </c>
      <c r="F10" s="5">
        <v>0</v>
      </c>
      <c r="G10" s="5">
        <v>18090000</v>
      </c>
      <c r="H10" s="5">
        <v>20100000</v>
      </c>
      <c r="I10" s="5">
        <v>16750000</v>
      </c>
      <c r="J10" s="5">
        <v>27336000</v>
      </c>
      <c r="K10" s="5">
        <v>24120000</v>
      </c>
      <c r="L10" s="5">
        <v>8040000</v>
      </c>
      <c r="M10" s="5">
        <v>11055000</v>
      </c>
      <c r="N10" s="5">
        <v>12060000</v>
      </c>
      <c r="O10" s="10">
        <v>26130000</v>
      </c>
    </row>
    <row r="11" spans="1:15" x14ac:dyDescent="0.25">
      <c r="A11" s="8" t="s">
        <v>23</v>
      </c>
      <c r="B11" s="3" t="s">
        <v>9</v>
      </c>
      <c r="C11" s="4" t="s">
        <v>15</v>
      </c>
      <c r="D11" s="5">
        <v>0</v>
      </c>
      <c r="E11" s="5">
        <v>5440400</v>
      </c>
      <c r="F11" s="5">
        <v>0</v>
      </c>
      <c r="G11" s="5">
        <v>12060000</v>
      </c>
      <c r="H11" s="5">
        <v>13400000</v>
      </c>
      <c r="I11" s="5">
        <v>20100000</v>
      </c>
      <c r="J11" s="5">
        <v>18224000</v>
      </c>
      <c r="K11" s="5">
        <v>28944000</v>
      </c>
      <c r="L11" s="5">
        <v>24120000</v>
      </c>
      <c r="M11" s="5">
        <v>14740000</v>
      </c>
      <c r="N11" s="5">
        <v>16080000</v>
      </c>
      <c r="O11" s="10">
        <v>17420000</v>
      </c>
    </row>
    <row r="12" spans="1:15" x14ac:dyDescent="0.25">
      <c r="A12" s="8" t="s">
        <v>23</v>
      </c>
      <c r="B12" s="3" t="s">
        <v>10</v>
      </c>
      <c r="C12" s="4" t="s">
        <v>15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10">
        <v>0</v>
      </c>
    </row>
    <row r="13" spans="1:15" x14ac:dyDescent="0.25">
      <c r="A13" s="8" t="s">
        <v>23</v>
      </c>
      <c r="B13" s="3" t="s">
        <v>11</v>
      </c>
      <c r="C13" s="4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10">
        <v>0</v>
      </c>
    </row>
    <row r="14" spans="1:15" x14ac:dyDescent="0.25">
      <c r="A14" s="8" t="s">
        <v>22</v>
      </c>
      <c r="B14" s="3" t="s">
        <v>0</v>
      </c>
      <c r="C14" s="4" t="s">
        <v>15</v>
      </c>
      <c r="D14" s="5">
        <v>45534021</v>
      </c>
      <c r="E14" s="5">
        <v>11101200</v>
      </c>
      <c r="F14" s="5">
        <v>11919600</v>
      </c>
      <c r="G14" s="5">
        <v>50490000</v>
      </c>
      <c r="H14" s="5">
        <v>56100000</v>
      </c>
      <c r="I14" s="5">
        <v>52800000</v>
      </c>
      <c r="J14" s="5">
        <v>76296000</v>
      </c>
      <c r="K14" s="5">
        <v>76032000</v>
      </c>
      <c r="L14" s="5">
        <v>63360000</v>
      </c>
      <c r="M14" s="5">
        <v>59895000</v>
      </c>
      <c r="N14" s="5">
        <v>65340000</v>
      </c>
      <c r="O14" s="10">
        <v>72930000</v>
      </c>
    </row>
    <row r="15" spans="1:15" x14ac:dyDescent="0.25">
      <c r="A15" s="8" t="s">
        <v>22</v>
      </c>
      <c r="B15" s="3" t="s">
        <v>1</v>
      </c>
      <c r="C15" s="4" t="s">
        <v>15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10">
        <v>0</v>
      </c>
    </row>
    <row r="16" spans="1:15" x14ac:dyDescent="0.25">
      <c r="A16" s="8" t="s">
        <v>22</v>
      </c>
      <c r="B16" s="3" t="s">
        <v>2</v>
      </c>
      <c r="C16" s="4" t="s">
        <v>15</v>
      </c>
      <c r="D16" s="5">
        <v>17551296</v>
      </c>
      <c r="E16" s="5">
        <v>5742000</v>
      </c>
      <c r="F16" s="5">
        <v>0</v>
      </c>
      <c r="G16" s="5">
        <v>17820000</v>
      </c>
      <c r="H16" s="5">
        <v>19800000</v>
      </c>
      <c r="I16" s="5">
        <v>21450000</v>
      </c>
      <c r="J16" s="5">
        <v>26928000</v>
      </c>
      <c r="K16" s="5">
        <v>30888000</v>
      </c>
      <c r="L16" s="5">
        <v>23760000</v>
      </c>
      <c r="M16" s="5">
        <v>23595000</v>
      </c>
      <c r="N16" s="5">
        <v>25740000</v>
      </c>
      <c r="O16" s="10">
        <v>25740000</v>
      </c>
    </row>
    <row r="17" spans="1:15" x14ac:dyDescent="0.25">
      <c r="A17" s="8" t="s">
        <v>22</v>
      </c>
      <c r="B17" s="3" t="s">
        <v>3</v>
      </c>
      <c r="C17" s="4" t="s">
        <v>15</v>
      </c>
      <c r="D17" s="5">
        <v>0</v>
      </c>
      <c r="E17" s="5">
        <v>3062400</v>
      </c>
      <c r="F17" s="5">
        <v>0</v>
      </c>
      <c r="G17" s="5">
        <v>10395000</v>
      </c>
      <c r="H17" s="5">
        <v>11550000</v>
      </c>
      <c r="I17" s="5">
        <v>14850000</v>
      </c>
      <c r="J17" s="5">
        <v>15708000</v>
      </c>
      <c r="K17" s="5">
        <v>21384000</v>
      </c>
      <c r="L17" s="5">
        <v>13860000</v>
      </c>
      <c r="M17" s="5">
        <v>18150000</v>
      </c>
      <c r="N17" s="5">
        <v>19800000</v>
      </c>
      <c r="O17" s="10">
        <v>15015000</v>
      </c>
    </row>
    <row r="18" spans="1:15" x14ac:dyDescent="0.25">
      <c r="A18" s="8" t="s">
        <v>22</v>
      </c>
      <c r="B18" s="3" t="s">
        <v>4</v>
      </c>
      <c r="C18" s="4" t="s">
        <v>15</v>
      </c>
      <c r="D18" s="5">
        <v>48183274</v>
      </c>
      <c r="E18" s="5">
        <v>10718400</v>
      </c>
      <c r="F18" s="5">
        <v>8870400</v>
      </c>
      <c r="G18" s="5">
        <v>32670000</v>
      </c>
      <c r="H18" s="5">
        <v>36300000</v>
      </c>
      <c r="I18" s="5">
        <v>26400000</v>
      </c>
      <c r="J18" s="5">
        <v>49368000</v>
      </c>
      <c r="K18" s="5">
        <v>38016000</v>
      </c>
      <c r="L18" s="5">
        <v>45540000</v>
      </c>
      <c r="M18" s="5">
        <v>29040000</v>
      </c>
      <c r="N18" s="5">
        <v>31680000</v>
      </c>
      <c r="O18" s="10">
        <v>47190000</v>
      </c>
    </row>
    <row r="19" spans="1:15" x14ac:dyDescent="0.25">
      <c r="A19" s="8" t="s">
        <v>22</v>
      </c>
      <c r="B19" s="3" t="s">
        <v>5</v>
      </c>
      <c r="C19" s="4" t="s">
        <v>15</v>
      </c>
      <c r="D19" s="5">
        <v>0</v>
      </c>
      <c r="E19" s="5">
        <v>0</v>
      </c>
      <c r="F19" s="5">
        <v>0</v>
      </c>
      <c r="G19" s="5">
        <v>5940000</v>
      </c>
      <c r="H19" s="5">
        <v>6600000</v>
      </c>
      <c r="I19" s="5">
        <v>14850000</v>
      </c>
      <c r="J19" s="5">
        <v>8976000</v>
      </c>
      <c r="K19" s="5">
        <v>21384000</v>
      </c>
      <c r="L19" s="5">
        <v>13860000</v>
      </c>
      <c r="M19" s="5">
        <v>16335000</v>
      </c>
      <c r="N19" s="5">
        <v>17820000</v>
      </c>
      <c r="O19" s="10">
        <v>8580000</v>
      </c>
    </row>
    <row r="20" spans="1:15" x14ac:dyDescent="0.25">
      <c r="A20" s="8" t="s">
        <v>22</v>
      </c>
      <c r="B20" s="3" t="s">
        <v>6</v>
      </c>
      <c r="C20" s="4" t="s">
        <v>15</v>
      </c>
      <c r="D20" s="5">
        <v>42583152</v>
      </c>
      <c r="E20" s="5">
        <v>3062400</v>
      </c>
      <c r="F20" s="5">
        <v>3603600</v>
      </c>
      <c r="G20" s="5">
        <v>7425000</v>
      </c>
      <c r="H20" s="5">
        <v>8250000</v>
      </c>
      <c r="I20" s="5">
        <v>9900000</v>
      </c>
      <c r="J20" s="5">
        <v>11220000</v>
      </c>
      <c r="K20" s="5">
        <v>14256000</v>
      </c>
      <c r="L20" s="5">
        <v>9900000</v>
      </c>
      <c r="M20" s="5">
        <v>9075000</v>
      </c>
      <c r="N20" s="5">
        <v>9900000</v>
      </c>
      <c r="O20" s="10">
        <v>10725000</v>
      </c>
    </row>
    <row r="21" spans="1:15" x14ac:dyDescent="0.25">
      <c r="A21" s="8" t="s">
        <v>22</v>
      </c>
      <c r="B21" s="3" t="s">
        <v>7</v>
      </c>
      <c r="C21" s="4" t="s">
        <v>15</v>
      </c>
      <c r="D21" s="5">
        <v>9944630</v>
      </c>
      <c r="E21" s="5">
        <v>1914000</v>
      </c>
      <c r="F21" s="5">
        <v>3326400</v>
      </c>
      <c r="G21" s="5">
        <v>8910000</v>
      </c>
      <c r="H21" s="5">
        <v>9900000</v>
      </c>
      <c r="I21" s="5">
        <v>6600000</v>
      </c>
      <c r="J21" s="5">
        <v>13464000</v>
      </c>
      <c r="K21" s="5">
        <v>9504000</v>
      </c>
      <c r="L21" s="5">
        <v>11880000</v>
      </c>
      <c r="M21" s="5">
        <v>12705000</v>
      </c>
      <c r="N21" s="5">
        <v>13860000</v>
      </c>
      <c r="O21" s="10">
        <v>12870000</v>
      </c>
    </row>
    <row r="22" spans="1:15" x14ac:dyDescent="0.25">
      <c r="A22" s="8" t="s">
        <v>22</v>
      </c>
      <c r="B22" s="3" t="s">
        <v>8</v>
      </c>
      <c r="C22" s="4" t="s">
        <v>15</v>
      </c>
      <c r="D22" s="5">
        <v>17703628</v>
      </c>
      <c r="E22" s="5">
        <v>0</v>
      </c>
      <c r="F22" s="5">
        <v>0</v>
      </c>
      <c r="G22" s="5">
        <v>8910000</v>
      </c>
      <c r="H22" s="5">
        <v>9900000</v>
      </c>
      <c r="I22" s="5">
        <v>8250000</v>
      </c>
      <c r="J22" s="5">
        <v>13464000</v>
      </c>
      <c r="K22" s="5">
        <v>11880000</v>
      </c>
      <c r="L22" s="5">
        <v>3960000</v>
      </c>
      <c r="M22" s="5">
        <v>5445000</v>
      </c>
      <c r="N22" s="5">
        <v>5940000</v>
      </c>
      <c r="O22" s="10">
        <v>12870000</v>
      </c>
    </row>
    <row r="23" spans="1:15" x14ac:dyDescent="0.25">
      <c r="A23" s="8" t="s">
        <v>22</v>
      </c>
      <c r="B23" s="3" t="s">
        <v>9</v>
      </c>
      <c r="C23" s="4" t="s">
        <v>15</v>
      </c>
      <c r="D23" s="5">
        <v>0</v>
      </c>
      <c r="E23" s="5">
        <v>2679600</v>
      </c>
      <c r="F23" s="5">
        <v>0</v>
      </c>
      <c r="G23" s="5">
        <v>5940000</v>
      </c>
      <c r="H23" s="5">
        <v>6600000</v>
      </c>
      <c r="I23" s="5">
        <v>9900000</v>
      </c>
      <c r="J23" s="5">
        <v>8976000</v>
      </c>
      <c r="K23" s="5">
        <v>14256000</v>
      </c>
      <c r="L23" s="5">
        <v>11880000</v>
      </c>
      <c r="M23" s="5">
        <v>7260000</v>
      </c>
      <c r="N23" s="5">
        <v>7920000</v>
      </c>
      <c r="O23" s="10">
        <v>8580000</v>
      </c>
    </row>
    <row r="24" spans="1:15" x14ac:dyDescent="0.25">
      <c r="A24" s="8" t="s">
        <v>22</v>
      </c>
      <c r="B24" s="3" t="s">
        <v>10</v>
      </c>
      <c r="C24" s="4" t="s">
        <v>15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10">
        <v>0</v>
      </c>
    </row>
    <row r="25" spans="1:15" x14ac:dyDescent="0.25">
      <c r="A25" s="8" t="s">
        <v>22</v>
      </c>
      <c r="B25" s="3" t="s">
        <v>11</v>
      </c>
      <c r="C25" s="4" t="s">
        <v>15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10">
        <v>0</v>
      </c>
    </row>
    <row r="26" spans="1:15" x14ac:dyDescent="0.25">
      <c r="A26" s="8" t="s">
        <v>20</v>
      </c>
      <c r="B26" s="3" t="s">
        <v>0</v>
      </c>
      <c r="C26" s="4" t="s">
        <v>16</v>
      </c>
      <c r="D26" s="5">
        <v>111953996</v>
      </c>
      <c r="E26" s="5">
        <v>0</v>
      </c>
      <c r="F26" s="5">
        <v>0</v>
      </c>
      <c r="G26" s="5">
        <v>0</v>
      </c>
      <c r="H26" s="5">
        <v>0</v>
      </c>
      <c r="I26" s="5">
        <v>152145547</v>
      </c>
      <c r="J26" s="5">
        <v>88787597</v>
      </c>
      <c r="K26" s="5">
        <v>133896848</v>
      </c>
      <c r="L26" s="5">
        <v>110984497</v>
      </c>
      <c r="M26" s="5">
        <v>182925548</v>
      </c>
      <c r="N26" s="5">
        <v>110984497</v>
      </c>
      <c r="O26" s="10">
        <v>158531749</v>
      </c>
    </row>
    <row r="27" spans="1:15" x14ac:dyDescent="0.25">
      <c r="A27" s="8" t="s">
        <v>20</v>
      </c>
      <c r="B27" s="3" t="s">
        <v>1</v>
      </c>
      <c r="C27" s="4" t="s">
        <v>16</v>
      </c>
      <c r="D27" s="5">
        <v>4943697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10">
        <v>0</v>
      </c>
    </row>
    <row r="28" spans="1:15" x14ac:dyDescent="0.25">
      <c r="A28" s="8" t="s">
        <v>20</v>
      </c>
      <c r="B28" s="3" t="s">
        <v>2</v>
      </c>
      <c r="C28" s="4" t="s">
        <v>16</v>
      </c>
      <c r="D28" s="5">
        <v>32500000</v>
      </c>
      <c r="E28" s="5">
        <v>0</v>
      </c>
      <c r="F28" s="5">
        <v>0</v>
      </c>
      <c r="G28" s="5">
        <v>34420000</v>
      </c>
      <c r="H28" s="5">
        <v>0</v>
      </c>
      <c r="I28" s="5">
        <v>0</v>
      </c>
      <c r="J28" s="5">
        <v>61344537</v>
      </c>
      <c r="K28" s="5">
        <v>98000000</v>
      </c>
      <c r="L28" s="5">
        <v>12000000</v>
      </c>
      <c r="M28" s="5">
        <v>26890756</v>
      </c>
      <c r="N28" s="5">
        <v>0</v>
      </c>
      <c r="O28" s="10">
        <v>0</v>
      </c>
    </row>
    <row r="29" spans="1:15" x14ac:dyDescent="0.25">
      <c r="A29" s="8" t="s">
        <v>20</v>
      </c>
      <c r="B29" s="3" t="s">
        <v>3</v>
      </c>
      <c r="C29" s="4" t="s">
        <v>16</v>
      </c>
      <c r="D29" s="5">
        <v>58385756</v>
      </c>
      <c r="E29" s="5">
        <v>0</v>
      </c>
      <c r="F29" s="5">
        <v>5065153</v>
      </c>
      <c r="G29" s="5">
        <v>0</v>
      </c>
      <c r="H29" s="5">
        <v>0</v>
      </c>
      <c r="I29" s="5">
        <v>8055936</v>
      </c>
      <c r="J29" s="5">
        <v>0</v>
      </c>
      <c r="K29" s="5">
        <v>14000000</v>
      </c>
      <c r="L29" s="5">
        <v>0</v>
      </c>
      <c r="M29" s="5">
        <v>8055936</v>
      </c>
      <c r="N29" s="5">
        <v>0</v>
      </c>
      <c r="O29" s="10">
        <v>0</v>
      </c>
    </row>
    <row r="30" spans="1:15" x14ac:dyDescent="0.25">
      <c r="A30" s="8" t="s">
        <v>20</v>
      </c>
      <c r="B30" s="3" t="s">
        <v>4</v>
      </c>
      <c r="C30" s="4" t="s">
        <v>16</v>
      </c>
      <c r="D30" s="5">
        <v>29345173</v>
      </c>
      <c r="E30" s="5">
        <v>0</v>
      </c>
      <c r="F30" s="5">
        <v>0</v>
      </c>
      <c r="G30" s="5">
        <v>0</v>
      </c>
      <c r="H30" s="5">
        <v>0</v>
      </c>
      <c r="I30" s="5">
        <v>10662772</v>
      </c>
      <c r="J30" s="5">
        <v>12795326</v>
      </c>
      <c r="K30" s="5">
        <v>14927881</v>
      </c>
      <c r="L30" s="5">
        <v>15994158</v>
      </c>
      <c r="M30" s="5">
        <v>21325544</v>
      </c>
      <c r="N30" s="5">
        <v>15994158</v>
      </c>
      <c r="O30" s="10">
        <v>14927881</v>
      </c>
    </row>
    <row r="31" spans="1:15" x14ac:dyDescent="0.25">
      <c r="A31" s="8" t="s">
        <v>20</v>
      </c>
      <c r="B31" s="3" t="s">
        <v>5</v>
      </c>
      <c r="C31" s="4" t="s">
        <v>16</v>
      </c>
      <c r="D31" s="5">
        <v>267071429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92591596</v>
      </c>
      <c r="L31" s="5">
        <v>82591596</v>
      </c>
      <c r="M31" s="5">
        <v>14400000</v>
      </c>
      <c r="N31" s="5">
        <v>0</v>
      </c>
      <c r="O31" s="10">
        <v>0</v>
      </c>
    </row>
    <row r="32" spans="1:15" x14ac:dyDescent="0.25">
      <c r="A32" s="8" t="s">
        <v>20</v>
      </c>
      <c r="B32" s="3" t="s">
        <v>6</v>
      </c>
      <c r="C32" s="4" t="s">
        <v>16</v>
      </c>
      <c r="D32" s="5">
        <v>101102169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38022500</v>
      </c>
      <c r="L32" s="5">
        <v>38022500</v>
      </c>
      <c r="M32" s="5">
        <v>4488000</v>
      </c>
      <c r="N32" s="5">
        <v>0</v>
      </c>
      <c r="O32" s="10">
        <v>0</v>
      </c>
    </row>
    <row r="33" spans="1:16" x14ac:dyDescent="0.25">
      <c r="A33" s="8" t="s">
        <v>20</v>
      </c>
      <c r="B33" s="3" t="s">
        <v>7</v>
      </c>
      <c r="C33" s="4" t="s">
        <v>16</v>
      </c>
      <c r="D33" s="5">
        <v>118511335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10">
        <v>0</v>
      </c>
    </row>
    <row r="34" spans="1:16" x14ac:dyDescent="0.25">
      <c r="A34" s="8" t="s">
        <v>20</v>
      </c>
      <c r="B34" s="3" t="s">
        <v>8</v>
      </c>
      <c r="C34" s="4" t="s">
        <v>16</v>
      </c>
      <c r="D34" s="5">
        <v>38336753</v>
      </c>
      <c r="E34" s="5">
        <v>0</v>
      </c>
      <c r="F34" s="5">
        <v>0</v>
      </c>
      <c r="G34" s="5">
        <v>0</v>
      </c>
      <c r="H34" s="5">
        <v>0</v>
      </c>
      <c r="I34" s="5">
        <v>9751718</v>
      </c>
      <c r="J34" s="5">
        <v>11702062</v>
      </c>
      <c r="K34" s="5">
        <v>13652405</v>
      </c>
      <c r="L34" s="5">
        <v>14627577</v>
      </c>
      <c r="M34" s="5">
        <v>19503436</v>
      </c>
      <c r="N34" s="5">
        <v>14627577</v>
      </c>
      <c r="O34" s="10">
        <v>13652405</v>
      </c>
    </row>
    <row r="35" spans="1:16" x14ac:dyDescent="0.25">
      <c r="A35" s="8" t="s">
        <v>20</v>
      </c>
      <c r="B35" s="3" t="s">
        <v>9</v>
      </c>
      <c r="C35" s="4" t="s">
        <v>16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28750000</v>
      </c>
      <c r="M35" s="5">
        <v>28750000</v>
      </c>
      <c r="N35" s="5">
        <v>0</v>
      </c>
      <c r="O35" s="10">
        <v>0</v>
      </c>
    </row>
    <row r="36" spans="1:16" x14ac:dyDescent="0.25">
      <c r="A36" s="8" t="s">
        <v>20</v>
      </c>
      <c r="B36" s="3" t="s">
        <v>10</v>
      </c>
      <c r="C36" s="4" t="s">
        <v>16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10">
        <v>0</v>
      </c>
    </row>
    <row r="37" spans="1:16" x14ac:dyDescent="0.25">
      <c r="A37" s="8" t="s">
        <v>20</v>
      </c>
      <c r="B37" s="3" t="s">
        <v>11</v>
      </c>
      <c r="C37" s="4" t="s">
        <v>16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10">
        <v>0</v>
      </c>
    </row>
    <row r="38" spans="1:16" x14ac:dyDescent="0.25">
      <c r="A38" s="9" t="s">
        <v>20</v>
      </c>
      <c r="B38" s="6" t="s">
        <v>17</v>
      </c>
      <c r="C38" s="4" t="s">
        <v>18</v>
      </c>
      <c r="D38" s="7">
        <v>3323334954</v>
      </c>
      <c r="E38" s="7">
        <v>0</v>
      </c>
      <c r="F38" s="7">
        <v>41812479</v>
      </c>
      <c r="G38" s="7">
        <v>133663930</v>
      </c>
      <c r="H38" s="7">
        <v>27532882</v>
      </c>
      <c r="I38" s="7">
        <v>93563514</v>
      </c>
      <c r="J38" s="7">
        <v>20102052</v>
      </c>
      <c r="K38" s="7">
        <v>18443288</v>
      </c>
      <c r="L38" s="7">
        <v>0</v>
      </c>
      <c r="M38" s="7">
        <v>18965877</v>
      </c>
      <c r="N38" s="7">
        <v>0</v>
      </c>
      <c r="O38" s="11">
        <v>52381750</v>
      </c>
      <c r="P38" s="2"/>
    </row>
    <row r="39" spans="1:16" x14ac:dyDescent="0.25">
      <c r="A39" s="16" t="s">
        <v>21</v>
      </c>
      <c r="B39" s="17" t="s">
        <v>19</v>
      </c>
      <c r="C39" s="18" t="s">
        <v>19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20">
        <v>225000000</v>
      </c>
      <c r="J39" s="20">
        <v>225000000</v>
      </c>
      <c r="K39" s="20">
        <v>225000000</v>
      </c>
      <c r="L39" s="20">
        <v>225000000</v>
      </c>
      <c r="M39" s="20">
        <v>225000000</v>
      </c>
      <c r="N39" s="20">
        <v>225000000</v>
      </c>
      <c r="O39" s="21">
        <v>225000000</v>
      </c>
    </row>
    <row r="41" spans="1:16" x14ac:dyDescent="0.25">
      <c r="C41" s="1" t="s">
        <v>45</v>
      </c>
      <c r="D41" s="22">
        <f>SUBTOTAL(9,Tabla1[1/01/2026])</f>
        <v>4635485263</v>
      </c>
      <c r="E41" s="22">
        <f>SUBTOTAL(9,Tabla1[1/02/2026])</f>
        <v>116000000</v>
      </c>
      <c r="F41" s="22">
        <f>SUBTOTAL(9,Tabla1[1/03/2026])</f>
        <v>130877632</v>
      </c>
      <c r="G41" s="22">
        <f>SUBTOTAL(9,Tabla1[1/04/2026])</f>
        <v>618083930</v>
      </c>
      <c r="H41" s="22">
        <f>SUBTOTAL(9,Tabla1[1/05/2026])</f>
        <v>527532882</v>
      </c>
      <c r="I41" s="22">
        <f>SUBTOTAL(9,Tabla1[1/06/2026])</f>
        <v>999179487</v>
      </c>
      <c r="J41" s="22">
        <f>SUBTOTAL(9,Tabla1[1/07/2026])</f>
        <v>1099731574</v>
      </c>
      <c r="K41" s="22">
        <f>SUBTOTAL(9,Tabla1[1/08/2026])</f>
        <v>1368534518</v>
      </c>
      <c r="L41" s="22">
        <f>SUBTOTAL(9,Tabla1[1/09/2026])</f>
        <v>1127970328</v>
      </c>
      <c r="M41" s="22">
        <f>SUBTOTAL(9,Tabla1[1/10/2026])</f>
        <v>1100305097</v>
      </c>
      <c r="N41" s="22">
        <f>SUBTOTAL(9,Tabla1[1/11/2026])</f>
        <v>966606232</v>
      </c>
      <c r="O41" s="22">
        <f>SUBTOTAL(9,Tabla1[1/12/2026])</f>
        <v>1114493785</v>
      </c>
    </row>
    <row r="42" spans="1:16" x14ac:dyDescent="0.25">
      <c r="A42" s="1" t="s">
        <v>43</v>
      </c>
      <c r="B42" s="23">
        <f>SUM(D41:O41)</f>
        <v>13804800728</v>
      </c>
      <c r="C42" s="1" t="s">
        <v>42</v>
      </c>
      <c r="D42" s="23">
        <f>SUM(D41:F41)</f>
        <v>4882362895</v>
      </c>
      <c r="F42" s="23"/>
      <c r="G42" s="23">
        <f>SUM(G41:I41)</f>
        <v>2144796299</v>
      </c>
      <c r="H42" s="23"/>
      <c r="J42" s="23">
        <f>SUM(J41:L41)</f>
        <v>3596236420</v>
      </c>
      <c r="M42" s="23">
        <f>SUM(M41:O41)</f>
        <v>3181405114</v>
      </c>
    </row>
    <row r="43" spans="1:16" x14ac:dyDescent="0.25">
      <c r="A43" s="1" t="s">
        <v>44</v>
      </c>
      <c r="B43" s="23">
        <f>B42*4</f>
        <v>55219202912</v>
      </c>
    </row>
    <row r="44" spans="1:16" x14ac:dyDescent="0.25">
      <c r="A44" t="s">
        <v>36</v>
      </c>
      <c r="B44" s="22">
        <v>1478167179</v>
      </c>
      <c r="C44">
        <f>(B44*4)/B43</f>
        <v>0.10707631411164546</v>
      </c>
      <c r="D44" s="24">
        <v>0</v>
      </c>
      <c r="E44" s="24">
        <v>0</v>
      </c>
      <c r="F44" s="24">
        <v>0</v>
      </c>
      <c r="G44" s="24">
        <v>0</v>
      </c>
      <c r="H44" s="24">
        <f>'[1]Informe Detallado'!$J$2020</f>
        <v>1589517883</v>
      </c>
      <c r="I44" s="24"/>
      <c r="J44" s="24"/>
      <c r="K44" s="24"/>
      <c r="L44" s="24"/>
      <c r="M44" s="24"/>
      <c r="N44" s="24"/>
      <c r="O44" s="24"/>
    </row>
    <row r="45" spans="1:16" x14ac:dyDescent="0.25">
      <c r="A45" t="s">
        <v>37</v>
      </c>
      <c r="B45" s="22">
        <v>10974432564</v>
      </c>
      <c r="C45">
        <f>(B45*4)/B43</f>
        <v>0.79497218252059076</v>
      </c>
      <c r="H45" s="22"/>
      <c r="J45" s="22"/>
    </row>
    <row r="46" spans="1:16" x14ac:dyDescent="0.25">
      <c r="A46" t="s">
        <v>38</v>
      </c>
      <c r="B46" s="22">
        <v>3280800000</v>
      </c>
      <c r="C46">
        <f>(B46*4)/B43</f>
        <v>0.23765645478283648</v>
      </c>
    </row>
    <row r="47" spans="1:16" x14ac:dyDescent="0.25">
      <c r="A47" t="s">
        <v>39</v>
      </c>
      <c r="B47" s="22">
        <v>1697671785</v>
      </c>
      <c r="C47">
        <f>(B47*4)/B43</f>
        <v>0.12297691349913124</v>
      </c>
      <c r="H47" s="24"/>
    </row>
    <row r="48" spans="1:16" x14ac:dyDescent="0.25">
      <c r="A48" t="s">
        <v>40</v>
      </c>
      <c r="B48" s="22">
        <v>2515918398</v>
      </c>
      <c r="C48">
        <f>(B48*4)/B43</f>
        <v>0.18224952663728156</v>
      </c>
    </row>
    <row r="49" spans="1:8" x14ac:dyDescent="0.25">
      <c r="A49" t="s">
        <v>41</v>
      </c>
      <c r="B49" s="22">
        <v>19946989926</v>
      </c>
      <c r="C49">
        <f>(B49*4)/B43</f>
        <v>1.4449313915514854</v>
      </c>
    </row>
    <row r="50" spans="1:8" x14ac:dyDescent="0.25">
      <c r="C50"/>
      <c r="H50" s="24"/>
    </row>
    <row r="51" spans="1:8" x14ac:dyDescent="0.25">
      <c r="C51">
        <f>(B45/B43)*100</f>
        <v>19.874304563014768</v>
      </c>
      <c r="E51">
        <f>(B42*4)/B43</f>
        <v>1</v>
      </c>
      <c r="H51" s="24"/>
    </row>
    <row r="52" spans="1:8" x14ac:dyDescent="0.25">
      <c r="B52" s="23"/>
      <c r="C52" s="23">
        <f>B42*C45</f>
        <v>10974432564</v>
      </c>
      <c r="H52" s="24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4D290-731F-48ED-96A2-215DA0BED3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GREENYWAVE</cp:lastModifiedBy>
  <dcterms:created xsi:type="dcterms:W3CDTF">2026-03-18T15:45:33Z</dcterms:created>
  <dcterms:modified xsi:type="dcterms:W3CDTF">2026-05-27T21:44:47Z</dcterms:modified>
</cp:coreProperties>
</file>